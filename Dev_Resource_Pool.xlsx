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ource Pool" sheetId="1" state="visible" r:id="rId3"/>
    <sheet name="Project Summary" sheetId="2" state="visible" r:id="rId4"/>
  </sheets>
  <definedNames>
    <definedName function="false" hidden="true" localSheetId="0" name="_xlnm._FilterDatabase" vbProcedure="false">'Resource Pool'!$A$1:$D$20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<sst xmlns="http://schemas.openxmlformats.org/spreadsheetml/2006/main" count="64" uniqueCount="44">
  <si>
    <t xml:space="preserve">#</t>
  </si>
  <si>
    <t xml:space="preserve">Team Member</t>
  </si>
  <si>
    <t xml:space="preserve">Project</t>
  </si>
  <si>
    <t xml:space="preserve">Status</t>
  </si>
  <si>
    <t xml:space="preserve">Naman</t>
  </si>
  <si>
    <t xml:space="preserve">Uvation Marketplace</t>
  </si>
  <si>
    <t xml:space="preserve">Shubham</t>
  </si>
  <si>
    <t xml:space="preserve">Parth</t>
  </si>
  <si>
    <t xml:space="preserve">Naveen</t>
  </si>
  <si>
    <t xml:space="preserve">Naga</t>
  </si>
  <si>
    <t xml:space="preserve">Kunal</t>
  </si>
  <si>
    <t xml:space="preserve">Uvation Marketing</t>
  </si>
  <si>
    <t xml:space="preserve">Kannan</t>
  </si>
  <si>
    <t xml:space="preserve">Saurab</t>
  </si>
  <si>
    <t xml:space="preserve">Atlas</t>
  </si>
  <si>
    <t xml:space="preserve">Gourav</t>
  </si>
  <si>
    <t xml:space="preserve">Yash</t>
  </si>
  <si>
    <t xml:space="preserve">Ankit Saxena</t>
  </si>
  <si>
    <t xml:space="preserve">Chatbot</t>
  </si>
  <si>
    <t xml:space="preserve">Shiva Prasad</t>
  </si>
  <si>
    <t xml:space="preserve">Aman</t>
  </si>
  <si>
    <t xml:space="preserve">AI Factory Subscription – Visual Board</t>
  </si>
  <si>
    <t xml:space="preserve">Rishab</t>
  </si>
  <si>
    <t xml:space="preserve">Ankit Sharma</t>
  </si>
  <si>
    <t xml:space="preserve">Vishnu</t>
  </si>
  <si>
    <t xml:space="preserve">Saravana</t>
  </si>
  <si>
    <t xml:space="preserve">Unassigned</t>
  </si>
  <si>
    <t xml:space="preserve">Akil</t>
  </si>
  <si>
    <t xml:space="preserve">Shivam</t>
  </si>
  <si>
    <t xml:space="preserve">How to update: change a member's Project using the dropdown in column C (choose "Unassigned" to move them to the bench). Status and the Project Summary update automatically. Add new members in the rows below.</t>
  </si>
  <si>
    <t xml:space="preserve">Note: Saravana appeared twice in the original team list and is counted once.</t>
  </si>
  <si>
    <t xml:space="preserve">Headcount</t>
  </si>
  <si>
    <t xml:space="preserve">Members</t>
  </si>
  <si>
    <t xml:space="preserve">Naman, Shubham, Parth, Naveen, Naga</t>
  </si>
  <si>
    <t xml:space="preserve">Kunal, Kannan</t>
  </si>
  <si>
    <t xml:space="preserve">Saurab, Gourav, Yash</t>
  </si>
  <si>
    <t xml:space="preserve">Ankit Saxena, Shiva Prasad</t>
  </si>
  <si>
    <t xml:space="preserve">Aman, Rishab, Ankit Sharma, Vishnu</t>
  </si>
  <si>
    <t xml:space="preserve">Saravana, Akil, Shivam</t>
  </si>
  <si>
    <t xml:space="preserve">Total</t>
  </si>
  <si>
    <t xml:space="preserve">Assigned</t>
  </si>
  <si>
    <t xml:space="preserve">Available (bench)</t>
  </si>
  <si>
    <t xml:space="preserve">Utilization</t>
  </si>
  <si>
    <t xml:space="preserve">Members column is a static snapshot (14 Oct 2026); headcounts recalculate from the Resource Pool sheet.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</si>
</sst>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Arial"/>
        <charset val="1"/>
        <family val="0"/>
        <b val="1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42"/>
    <col collapsed="false" customWidth="true" hidden="false" outlineLevel="0" max="4" min="4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n">
        <v>1</v>
      </c>
      <c r="B2" s="3" t="s">
        <v>4</v>
      </c>
      <c r="C2" s="3" t="s">
        <v>5</v>
      </c>
      <c r="D2" s="2" t="str">
        <f aca="false">IF(OR(C2="",C2="Unassigned"),"Available","Assigned")</f>
        <v>Assigned</v>
      </c>
    </row>
    <row r="3" customFormat="false" ht="15" hidden="false" customHeight="false" outlineLevel="0" collapsed="false">
      <c r="A3" s="2" t="n">
        <v>2</v>
      </c>
      <c r="B3" s="3" t="s">
        <v>6</v>
      </c>
      <c r="C3" s="3" t="s">
        <v>5</v>
      </c>
      <c r="D3" s="2" t="str">
        <f aca="false">IF(OR(C3="",C3="Unassigned"),"Available","Assigned")</f>
        <v>Assigned</v>
      </c>
    </row>
    <row r="4" customFormat="false" ht="15" hidden="false" customHeight="false" outlineLevel="0" collapsed="false">
      <c r="A4" s="2" t="n">
        <v>3</v>
      </c>
      <c r="B4" s="3" t="s">
        <v>7</v>
      </c>
      <c r="C4" s="3" t="s">
        <v>5</v>
      </c>
      <c r="D4" s="2" t="str">
        <f aca="false">IF(OR(C4="",C4="Unassigned"),"Available","Assigned")</f>
        <v>Assigned</v>
      </c>
    </row>
    <row r="5" customFormat="false" ht="15" hidden="false" customHeight="false" outlineLevel="0" collapsed="false">
      <c r="A5" s="2" t="n">
        <v>4</v>
      </c>
      <c r="B5" s="3" t="s">
        <v>8</v>
      </c>
      <c r="C5" s="3" t="s">
        <v>5</v>
      </c>
      <c r="D5" s="2" t="str">
        <f aca="false">IF(OR(C5="",C5="Unassigned"),"Available","Assigned")</f>
        <v>Assigned</v>
      </c>
    </row>
    <row r="6" customFormat="false" ht="15" hidden="false" customHeight="false" outlineLevel="0" collapsed="false">
      <c r="A6" s="2" t="n">
        <v>5</v>
      </c>
      <c r="B6" s="3" t="s">
        <v>9</v>
      </c>
      <c r="C6" s="3" t="s">
        <v>5</v>
      </c>
      <c r="D6" s="2" t="str">
        <f aca="false">IF(OR(C6="",C6="Unassigned"),"Available","Assigned")</f>
        <v>Assigned</v>
      </c>
    </row>
    <row r="7" customFormat="false" ht="15" hidden="false" customHeight="false" outlineLevel="0" collapsed="false">
      <c r="A7" s="2" t="n">
        <v>6</v>
      </c>
      <c r="B7" s="3" t="s">
        <v>10</v>
      </c>
      <c r="C7" s="3" t="s">
        <v>11</v>
      </c>
      <c r="D7" s="2" t="str">
        <f aca="false">IF(OR(C7="",C7="Unassigned"),"Available","Assigned")</f>
        <v>Assigned</v>
      </c>
    </row>
    <row r="8" customFormat="false" ht="15" hidden="false" customHeight="false" outlineLevel="0" collapsed="false">
      <c r="A8" s="2" t="n">
        <v>7</v>
      </c>
      <c r="B8" s="3" t="s">
        <v>12</v>
      </c>
      <c r="C8" s="3" t="s">
        <v>11</v>
      </c>
      <c r="D8" s="2" t="str">
        <f aca="false">IF(OR(C8="",C8="Unassigned"),"Available","Assigned")</f>
        <v>Assigned</v>
      </c>
    </row>
    <row r="9" customFormat="false" ht="15" hidden="false" customHeight="false" outlineLevel="0" collapsed="false">
      <c r="A9" s="2" t="n">
        <v>8</v>
      </c>
      <c r="B9" s="3" t="s">
        <v>13</v>
      </c>
      <c r="C9" s="3" t="s">
        <v>14</v>
      </c>
      <c r="D9" s="2" t="str">
        <f aca="false">IF(OR(C9="",C9="Unassigned"),"Available","Assigned")</f>
        <v>Assigned</v>
      </c>
    </row>
    <row r="10" customFormat="false" ht="15" hidden="false" customHeight="false" outlineLevel="0" collapsed="false">
      <c r="A10" s="2" t="n">
        <v>9</v>
      </c>
      <c r="B10" s="3" t="s">
        <v>15</v>
      </c>
      <c r="C10" s="3" t="s">
        <v>14</v>
      </c>
      <c r="D10" s="2" t="str">
        <f aca="false">IF(OR(C10="",C10="Unassigned"),"Available","Assigned")</f>
        <v>Assigned</v>
      </c>
    </row>
    <row r="11" customFormat="false" ht="15" hidden="false" customHeight="false" outlineLevel="0" collapsed="false">
      <c r="A11" s="2" t="n">
        <v>10</v>
      </c>
      <c r="B11" s="3" t="s">
        <v>16</v>
      </c>
      <c r="C11" s="3" t="s">
        <v>14</v>
      </c>
      <c r="D11" s="2" t="str">
        <f aca="false">IF(OR(C11="",C11="Unassigned"),"Available","Assigned")</f>
        <v>Assigned</v>
      </c>
    </row>
    <row r="12" customFormat="false" ht="15" hidden="false" customHeight="false" outlineLevel="0" collapsed="false">
      <c r="A12" s="2" t="n">
        <v>11</v>
      </c>
      <c r="B12" s="3" t="s">
        <v>17</v>
      </c>
      <c r="C12" s="3" t="s">
        <v>18</v>
      </c>
      <c r="D12" s="2" t="str">
        <f aca="false">IF(OR(C12="",C12="Unassigned"),"Available","Assigned")</f>
        <v>Assigned</v>
      </c>
    </row>
    <row r="13" customFormat="false" ht="15" hidden="false" customHeight="false" outlineLevel="0" collapsed="false">
      <c r="A13" s="2" t="n">
        <v>12</v>
      </c>
      <c r="B13" s="3" t="s">
        <v>19</v>
      </c>
      <c r="C13" s="3" t="s">
        <v>18</v>
      </c>
      <c r="D13" s="2" t="str">
        <f aca="false">IF(OR(C13="",C13="Unassigned"),"Available","Assigned")</f>
        <v>Assigned</v>
      </c>
    </row>
    <row r="14" customFormat="false" ht="15" hidden="false" customHeight="false" outlineLevel="0" collapsed="false">
      <c r="A14" s="2" t="n">
        <v>13</v>
      </c>
      <c r="B14" s="3" t="s">
        <v>20</v>
      </c>
      <c r="C14" s="3" t="s">
        <v>21</v>
      </c>
      <c r="D14" s="2" t="str">
        <f aca="false">IF(OR(C14="",C14="Unassigned"),"Available","Assigned")</f>
        <v>Assigned</v>
      </c>
    </row>
    <row r="15" customFormat="false" ht="15" hidden="false" customHeight="false" outlineLevel="0" collapsed="false">
      <c r="A15" s="2" t="n">
        <v>14</v>
      </c>
      <c r="B15" s="3" t="s">
        <v>22</v>
      </c>
      <c r="C15" s="3" t="s">
        <v>21</v>
      </c>
      <c r="D15" s="2" t="str">
        <f aca="false">IF(OR(C15="",C15="Unassigned"),"Available","Assigned")</f>
        <v>Assigned</v>
      </c>
    </row>
    <row r="16" customFormat="false" ht="15" hidden="false" customHeight="false" outlineLevel="0" collapsed="false">
      <c r="A16" s="2" t="n">
        <v>15</v>
      </c>
      <c r="B16" s="3" t="s">
        <v>23</v>
      </c>
      <c r="C16" s="3" t="s">
        <v>21</v>
      </c>
      <c r="D16" s="2" t="str">
        <f aca="false">IF(OR(C16="",C16="Unassigned"),"Available","Assigned")</f>
        <v>Assigned</v>
      </c>
    </row>
    <row r="17" customFormat="false" ht="15" hidden="false" customHeight="false" outlineLevel="0" collapsed="false">
      <c r="A17" s="2" t="n">
        <v>16</v>
      </c>
      <c r="B17" s="3" t="s">
        <v>24</v>
      </c>
      <c r="C17" s="3" t="s">
        <v>21</v>
      </c>
      <c r="D17" s="2" t="str">
        <f aca="false">IF(OR(C17="",C17="Unassigned"),"Available","Assigned")</f>
        <v>Assigned</v>
      </c>
    </row>
    <row r="18" customFormat="false" ht="15" hidden="false" customHeight="false" outlineLevel="0" collapsed="false">
      <c r="A18" s="2" t="n">
        <v>17</v>
      </c>
      <c r="B18" s="3" t="s">
        <v>25</v>
      </c>
      <c r="C18" s="3" t="s">
        <v>26</v>
      </c>
      <c r="D18" s="2" t="str">
        <f aca="false">IF(OR(C18="",C18="Unassigned"),"Available","Assigned")</f>
        <v>Available</v>
      </c>
    </row>
    <row r="19" customFormat="false" ht="15" hidden="false" customHeight="false" outlineLevel="0" collapsed="false">
      <c r="A19" s="2" t="n">
        <v>18</v>
      </c>
      <c r="B19" s="3" t="s">
        <v>27</v>
      </c>
      <c r="C19" s="3" t="s">
        <v>26</v>
      </c>
      <c r="D19" s="2" t="str">
        <f aca="false">IF(OR(C19="",C19="Unassigned"),"Available","Assigned")</f>
        <v>Available</v>
      </c>
    </row>
    <row r="20" customFormat="false" ht="15" hidden="false" customHeight="false" outlineLevel="0" collapsed="false">
      <c r="A20" s="2" t="n">
        <v>19</v>
      </c>
      <c r="B20" s="3" t="s">
        <v>28</v>
      </c>
      <c r="C20" s="3" t="s">
        <v>26</v>
      </c>
      <c r="D20" s="2" t="str">
        <f aca="false">IF(OR(C20="",C20="Unassigned"),"Available","Assigned")</f>
        <v>Available</v>
      </c>
    </row>
    <row r="22" customFormat="false" ht="15" hidden="false" customHeight="false" outlineLevel="0" collapsed="false">
      <c r="B22" s="4" t="s">
        <v>29</v>
      </c>
    </row>
    <row r="23" customFormat="false" ht="15" hidden="false" customHeight="false" outlineLevel="0" collapsed="false">
      <c r="B23" s="4" t="s">
        <v>30</v>
      </c>
    </row>
  </sheetData>
  <autoFilter ref="A1:D20"/>
  <conditionalFormatting sqref="A2:D20">
    <cfRule type="expression" priority="2" aboveAverage="0" equalAverage="0" bottom="0" percent="0" rank="0" text="" dxfId="4">
      <formula>$D2="Available"</formula>
    </cfRule>
  </conditionalFormatting>
  <dataValidations count="1">
    <dataValidation allowBlank="true" errorStyle="stop" operator="between" showDropDown="false" showErrorMessage="false" showInputMessage="false" sqref="C2:C40" type="list">
      <formula1>'Project Summary'!$A$2:$A$7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3" min="3" style="0" width="55"/>
  </cols>
  <sheetData>
    <row r="1" customFormat="false" ht="15" hidden="false" customHeight="false" outlineLevel="0" collapsed="false">
      <c r="A1" s="1" t="s">
        <v>2</v>
      </c>
      <c r="B1" s="1" t="s">
        <v>31</v>
      </c>
      <c r="C1" s="1" t="s">
        <v>32</v>
      </c>
    </row>
    <row r="2" customFormat="false" ht="15" hidden="false" customHeight="false" outlineLevel="0" collapsed="false">
      <c r="A2" s="3" t="s">
        <v>5</v>
      </c>
      <c r="B2" s="5" t="n">
        <f aca="false">COUNTIF('Resource Pool'!$C$2:$C$40,A2)</f>
        <v>5</v>
      </c>
      <c r="C2" s="3" t="s">
        <v>33</v>
      </c>
    </row>
    <row r="3" customFormat="false" ht="15" hidden="false" customHeight="false" outlineLevel="0" collapsed="false">
      <c r="A3" s="3" t="s">
        <v>11</v>
      </c>
      <c r="B3" s="5" t="n">
        <f aca="false">COUNTIF('Resource Pool'!$C$2:$C$40,A3)</f>
        <v>2</v>
      </c>
      <c r="C3" s="3" t="s">
        <v>34</v>
      </c>
    </row>
    <row r="4" customFormat="false" ht="15" hidden="false" customHeight="false" outlineLevel="0" collapsed="false">
      <c r="A4" s="3" t="s">
        <v>14</v>
      </c>
      <c r="B4" s="5" t="n">
        <f aca="false">COUNTIF('Resource Pool'!$C$2:$C$40,A4)</f>
        <v>3</v>
      </c>
      <c r="C4" s="3" t="s">
        <v>35</v>
      </c>
    </row>
    <row r="5" customFormat="false" ht="15" hidden="false" customHeight="false" outlineLevel="0" collapsed="false">
      <c r="A5" s="3" t="s">
        <v>18</v>
      </c>
      <c r="B5" s="5" t="n">
        <f aca="false">COUNTIF('Resource Pool'!$C$2:$C$40,A5)</f>
        <v>2</v>
      </c>
      <c r="C5" s="3" t="s">
        <v>36</v>
      </c>
    </row>
    <row r="6" customFormat="false" ht="15" hidden="false" customHeight="false" outlineLevel="0" collapsed="false">
      <c r="A6" s="3" t="s">
        <v>21</v>
      </c>
      <c r="B6" s="5" t="n">
        <f aca="false">COUNTIF('Resource Pool'!$C$2:$C$40,A6)</f>
        <v>4</v>
      </c>
      <c r="C6" s="3" t="s">
        <v>37</v>
      </c>
    </row>
    <row r="7" customFormat="false" ht="15" hidden="false" customHeight="false" outlineLevel="0" collapsed="false">
      <c r="A7" s="6" t="s">
        <v>26</v>
      </c>
      <c r="B7" s="7" t="n">
        <f aca="false">COUNTIF('Resource Pool'!$C$2:$C$40,A7)</f>
        <v>3</v>
      </c>
      <c r="C7" s="6" t="s">
        <v>38</v>
      </c>
    </row>
    <row r="8" customFormat="false" ht="15" hidden="false" customHeight="false" outlineLevel="0" collapsed="false">
      <c r="A8" s="8" t="s">
        <v>39</v>
      </c>
      <c r="B8" s="9" t="n">
        <f aca="false">SUM(B2:B7)</f>
        <v>19</v>
      </c>
      <c r="C8" s="8"/>
    </row>
    <row r="10" customFormat="false" ht="15" hidden="false" customHeight="false" outlineLevel="0" collapsed="false">
      <c r="A10" s="10" t="s">
        <v>40</v>
      </c>
      <c r="B10" s="11" t="n">
        <f aca="false">COUNTIF('Resource Pool'!$D$2:$D$40,"Assigned")</f>
        <v>16</v>
      </c>
    </row>
    <row r="11" customFormat="false" ht="15" hidden="false" customHeight="false" outlineLevel="0" collapsed="false">
      <c r="A11" s="10" t="s">
        <v>41</v>
      </c>
      <c r="B11" s="11" t="n">
        <f aca="false">COUNTIF('Resource Pool'!$D$2:$D$40,"Available")</f>
        <v>3</v>
      </c>
    </row>
    <row r="12" customFormat="false" ht="15" hidden="false" customHeight="false" outlineLevel="0" collapsed="false">
      <c r="A12" s="10" t="s">
        <v>42</v>
      </c>
      <c r="B12" s="12" t="n">
        <f aca="false">IFERROR(B10/(B10+B11),0)</f>
        <v>0.842105263157895</v>
      </c>
    </row>
    <row r="14" customFormat="false" ht="15" hidden="false" customHeight="false" outlineLevel="0" collapsed="false">
      <c r="A14" s="4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2026-10-14T11:17:29Z</dcterms:created>
  <dc:creator>openpyxl</dc:creator>
  <dc:description/>
  <dc:language>en-US</dc:language>
  <cp:lastModifiedBy/>
  <dcterms:modified xsi:type="dcterms:W3CDTF">2026-10-14T11:17:29Z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